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hmoudkhundukji/Downloads/"/>
    </mc:Choice>
  </mc:AlternateContent>
  <xr:revisionPtr revIDLastSave="0" documentId="13_ncr:1_{1549ACF9-A5EB-044A-B0EF-1D622D245C7B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Assumptions" sheetId="1" r:id="rId1"/>
    <sheet name="Scenario Analysis" sheetId="2" r:id="rId2"/>
    <sheet name="Executive Summary" sheetId="3" r:id="rId3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2" l="1"/>
  <c r="C10" i="2"/>
  <c r="B10" i="2"/>
  <c r="D9" i="2"/>
  <c r="D11" i="2" s="1"/>
  <c r="D12" i="2" s="1"/>
  <c r="C9" i="2"/>
  <c r="C11" i="2" s="1"/>
  <c r="C12" i="2" s="1"/>
  <c r="B9" i="2"/>
  <c r="B11" i="2" s="1"/>
  <c r="B12" i="2" s="1"/>
  <c r="D13" i="1"/>
  <c r="B13" i="1"/>
  <c r="D6" i="1"/>
  <c r="B6" i="1"/>
  <c r="D8" i="1" s="1"/>
  <c r="B8" i="1" l="1"/>
  <c r="D10" i="1" l="1"/>
  <c r="B10" i="1"/>
  <c r="D14" i="1" l="1"/>
  <c r="B14" i="1"/>
  <c r="D16" i="1" l="1"/>
  <c r="B16" i="1"/>
</calcChain>
</file>

<file path=xl/sharedStrings.xml><?xml version="1.0" encoding="utf-8"?>
<sst xmlns="http://schemas.openxmlformats.org/spreadsheetml/2006/main" count="106" uniqueCount="91">
  <si>
    <t>Acer Education Market Sizing Model — Assumptions</t>
  </si>
  <si>
    <t>Parameter</t>
  </si>
  <si>
    <t>Value</t>
  </si>
  <si>
    <t>Unit</t>
  </si>
  <si>
    <t>Note</t>
  </si>
  <si>
    <t>European population</t>
  </si>
  <si>
    <t>people</t>
  </si>
  <si>
    <t>Source: Eurostat 2024 estimate</t>
  </si>
  <si>
    <t>School-age share of population</t>
  </si>
  <si>
    <t>%</t>
  </si>
  <si>
    <t>Ages 5–18, ~15% of population</t>
  </si>
  <si>
    <t>School-age population</t>
  </si>
  <si>
    <t>% using school-issued devices</t>
  </si>
  <si>
    <t>Assumption: 50% — accounts for less-digitalised Eastern Europe</t>
  </si>
  <si>
    <t>Students with school-issued devices</t>
  </si>
  <si>
    <t>Chromebook share of school-issued devices</t>
  </si>
  <si>
    <t>Assumption: 80% — mirrors near-US adoption, adjusted for price sensitivity</t>
  </si>
  <si>
    <t>Students on Chromebooks</t>
  </si>
  <si>
    <t>Average Chromebook price</t>
  </si>
  <si>
    <t>USD</t>
  </si>
  <si>
    <t>Mid-point of Acer education range ($200–$400)</t>
  </si>
  <si>
    <t>Device replacement cycle</t>
  </si>
  <si>
    <t>years</t>
  </si>
  <si>
    <t>Typical institutional procurement cycle</t>
  </si>
  <si>
    <t>Annual spend per device</t>
  </si>
  <si>
    <t>USD/yr</t>
  </si>
  <si>
    <t>Total addressable market (TAM)</t>
  </si>
  <si>
    <t>Acer's estimated education market share</t>
  </si>
  <si>
    <t>Assumption: Acer leads education Chromebook segment</t>
  </si>
  <si>
    <t>Acer addressable revenue</t>
  </si>
  <si>
    <t>Scenario Analysis — Acer Education Revenue</t>
  </si>
  <si>
    <t>Assumption</t>
  </si>
  <si>
    <t>Bear Case</t>
  </si>
  <si>
    <t>Base Case</t>
  </si>
  <si>
    <t>Bull Case</t>
  </si>
  <si>
    <t>% students with school devices</t>
  </si>
  <si>
    <t>35%</t>
  </si>
  <si>
    <t>50%</t>
  </si>
  <si>
    <t>65%</t>
  </si>
  <si>
    <t>Chromebook share</t>
  </si>
  <si>
    <t>80%</t>
  </si>
  <si>
    <t>90%</t>
  </si>
  <si>
    <t>Avg. device price (USD)</t>
  </si>
  <si>
    <t>$250</t>
  </si>
  <si>
    <t>$300</t>
  </si>
  <si>
    <t>$350</t>
  </si>
  <si>
    <t>Replacement cycle (years)</t>
  </si>
  <si>
    <t>4.0</t>
  </si>
  <si>
    <t>3.5</t>
  </si>
  <si>
    <t>3.0</t>
  </si>
  <si>
    <t>Acer market share</t>
  </si>
  <si>
    <t>25%</t>
  </si>
  <si>
    <t>45%</t>
  </si>
  <si>
    <t>Students on Chromebooks (mm)</t>
  </si>
  <si>
    <t>Annual spend per device (USD)</t>
  </si>
  <si>
    <t>TAM (USD bn)</t>
  </si>
  <si>
    <t>Acer revenue opportunity (USD bn)</t>
  </si>
  <si>
    <t>── PPT Summary Numbers ──</t>
  </si>
  <si>
    <t>Acer addressable revenue (USD)</t>
  </si>
  <si>
    <t>~$240m</t>
  </si>
  <si>
    <t>~$810m</t>
  </si>
  <si>
    <t>~$2.1bn</t>
  </si>
  <si>
    <t>As % of Acer 2025 revenue ($8bn)</t>
  </si>
  <si>
    <t>~3%</t>
  </si>
  <si>
    <t>~10%</t>
  </si>
  <si>
    <t>~26%</t>
  </si>
  <si>
    <t>Market Sizing — Executive Summary</t>
  </si>
  <si>
    <t>QUESTION</t>
  </si>
  <si>
    <t>How large is Acer's addressable education market in Europe?</t>
  </si>
  <si>
    <t>APPROACH</t>
  </si>
  <si>
    <t>Bottom-up market sizing from European population</t>
  </si>
  <si>
    <t>KEY ASSUMPTIONS</t>
  </si>
  <si>
    <t xml:space="preserve">  European population</t>
  </si>
  <si>
    <t>450 million</t>
  </si>
  <si>
    <t xml:space="preserve">  School-age share</t>
  </si>
  <si>
    <t>15%</t>
  </si>
  <si>
    <t xml:space="preserve">  School-issued device penetration</t>
  </si>
  <si>
    <t>50% (accounts for less-digitalised regions)</t>
  </si>
  <si>
    <t xml:space="preserve">  Chromebook share of school devices</t>
  </si>
  <si>
    <t>80% (near-US adoption, price-driven)</t>
  </si>
  <si>
    <t xml:space="preserve">  Average Chromebook price</t>
  </si>
  <si>
    <t xml:space="preserve">  Replacement cycle</t>
  </si>
  <si>
    <t>3.5 years</t>
  </si>
  <si>
    <t xml:space="preserve">  Acer education market share</t>
  </si>
  <si>
    <t>RESULT</t>
  </si>
  <si>
    <t xml:space="preserve">  Total addressable market (TAM)</t>
  </si>
  <si>
    <t>See Assumptions sheet</t>
  </si>
  <si>
    <t xml:space="preserve">  Acer revenue opportunity (base case)</t>
  </si>
  <si>
    <t>See Scenario Analysis sheet</t>
  </si>
  <si>
    <t>IMPLICATION</t>
  </si>
  <si>
    <t>The education segment represents a substantial and defensible revenue base for Acer — priced below Apple's floor and outside HP/Lenovo's primary focus.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</si>
</sst>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i/>
      <sz val="10"/>
      <color rgb="FF555555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i/>
      <sz val="10"/>
      <name val="Arial"/>
      <charset val="1"/>
    </font>
    <font>
      <i/>
      <sz val="10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555555"/>
      </patternFill>
    </fill>
    <fill>
      <patternFill patternType="solid">
        <fgColor rgb="FFD4EDDA"/>
        <bgColor rgb="FFEAF4EA"/>
      </patternFill>
    </fill>
    <fill>
      <patternFill patternType="solid">
        <fgColor rgb="FFEAF4EA"/>
        <bgColor rgb="FFD4ED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4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42" customWidth="1"/>
    <col min="2" max="3" width="16" customWidth="1"/>
    <col min="4" max="4" width="48" customWidth="1"/>
  </cols>
  <sheetData>
    <row r="1" spans="1:4" ht="30" customHeight="1" x14ac:dyDescent="0.2">
      <c r="A1" s="1" t="s">
        <v>0</v>
      </c>
      <c r="B1" s="1"/>
      <c r="C1" s="1"/>
      <c r="D1" s="1"/>
    </row>
    <row r="3" spans="1:4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2">
      <c r="A4" s="3" t="s">
        <v>5</v>
      </c>
      <c r="B4" s="4">
        <v>450000000</v>
      </c>
      <c r="C4" s="5" t="s">
        <v>6</v>
      </c>
      <c r="D4" s="6" t="s">
        <v>7</v>
      </c>
    </row>
    <row r="5" spans="1:4" ht="15" customHeight="1" x14ac:dyDescent="0.2">
      <c r="A5" s="3" t="s">
        <v>8</v>
      </c>
      <c r="B5" s="4">
        <v>0.15</v>
      </c>
      <c r="C5" s="5" t="s">
        <v>9</v>
      </c>
      <c r="D5" s="6" t="s">
        <v>10</v>
      </c>
    </row>
    <row r="6" spans="1:4" ht="15" customHeight="1" x14ac:dyDescent="0.2">
      <c r="A6" s="3" t="s">
        <v>11</v>
      </c>
      <c r="B6" s="7">
        <f>B4*B5</f>
        <v>67500000</v>
      </c>
      <c r="C6" s="5" t="s">
        <v>6</v>
      </c>
      <c r="D6" s="6">
        <f>B4*B5</f>
        <v>67500000</v>
      </c>
    </row>
    <row r="7" spans="1:4" ht="15" customHeight="1" x14ac:dyDescent="0.2">
      <c r="A7" s="3" t="s">
        <v>12</v>
      </c>
      <c r="B7" s="4">
        <v>0.5</v>
      </c>
      <c r="C7" s="5" t="s">
        <v>9</v>
      </c>
      <c r="D7" s="6" t="s">
        <v>13</v>
      </c>
    </row>
    <row r="8" spans="1:4" ht="15" customHeight="1" x14ac:dyDescent="0.2">
      <c r="A8" s="3" t="s">
        <v>14</v>
      </c>
      <c r="B8" s="7">
        <f>B6*B7</f>
        <v>33750000</v>
      </c>
      <c r="C8" s="5" t="s">
        <v>6</v>
      </c>
      <c r="D8" s="6">
        <f>B6*B7</f>
        <v>33750000</v>
      </c>
    </row>
    <row r="9" spans="1:4" ht="15" customHeight="1" x14ac:dyDescent="0.2">
      <c r="A9" s="3" t="s">
        <v>15</v>
      </c>
      <c r="B9" s="4">
        <v>0.8</v>
      </c>
      <c r="C9" s="5" t="s">
        <v>9</v>
      </c>
      <c r="D9" s="6" t="s">
        <v>16</v>
      </c>
    </row>
    <row r="10" spans="1:4" ht="15" customHeight="1" x14ac:dyDescent="0.2">
      <c r="A10" s="3" t="s">
        <v>17</v>
      </c>
      <c r="B10" s="7">
        <f>B8*B9</f>
        <v>27000000</v>
      </c>
      <c r="C10" s="5" t="s">
        <v>6</v>
      </c>
      <c r="D10" s="6">
        <f>B8*B9</f>
        <v>27000000</v>
      </c>
    </row>
    <row r="11" spans="1:4" ht="15" customHeight="1" x14ac:dyDescent="0.2">
      <c r="A11" s="3" t="s">
        <v>18</v>
      </c>
      <c r="B11" s="4">
        <v>300</v>
      </c>
      <c r="C11" s="5" t="s">
        <v>19</v>
      </c>
      <c r="D11" s="6" t="s">
        <v>20</v>
      </c>
    </row>
    <row r="12" spans="1:4" ht="15" customHeight="1" x14ac:dyDescent="0.2">
      <c r="A12" s="3" t="s">
        <v>21</v>
      </c>
      <c r="B12" s="4">
        <v>3.5</v>
      </c>
      <c r="C12" s="5" t="s">
        <v>22</v>
      </c>
      <c r="D12" s="6" t="s">
        <v>23</v>
      </c>
    </row>
    <row r="13" spans="1:4" ht="15" customHeight="1" x14ac:dyDescent="0.2">
      <c r="A13" s="3" t="s">
        <v>24</v>
      </c>
      <c r="B13" s="8">
        <f>B11/B12</f>
        <v>85.714285714285708</v>
      </c>
      <c r="C13" s="5" t="s">
        <v>25</v>
      </c>
      <c r="D13" s="6">
        <f>B11/B12</f>
        <v>85.714285714285708</v>
      </c>
    </row>
    <row r="14" spans="1:4" ht="15" customHeight="1" x14ac:dyDescent="0.2">
      <c r="A14" s="3" t="s">
        <v>26</v>
      </c>
      <c r="B14" s="7">
        <f>B10*B13</f>
        <v>2314285714.2857141</v>
      </c>
      <c r="C14" s="5" t="s">
        <v>25</v>
      </c>
      <c r="D14" s="6">
        <f>B10*B13</f>
        <v>2314285714.2857141</v>
      </c>
    </row>
    <row r="15" spans="1:4" ht="15" customHeight="1" x14ac:dyDescent="0.2">
      <c r="A15" s="3" t="s">
        <v>27</v>
      </c>
      <c r="B15" s="4">
        <v>0.35</v>
      </c>
      <c r="C15" s="5" t="s">
        <v>9</v>
      </c>
      <c r="D15" s="6" t="s">
        <v>28</v>
      </c>
    </row>
    <row r="16" spans="1:4" ht="15" customHeight="1" x14ac:dyDescent="0.2">
      <c r="A16" s="3" t="s">
        <v>29</v>
      </c>
      <c r="B16" s="7">
        <f>B14*B15</f>
        <v>809999999.99999988</v>
      </c>
      <c r="C16" s="5" t="s">
        <v>25</v>
      </c>
      <c r="D16" s="6">
        <f>B14*B15</f>
        <v>809999999.99999988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="142" zoomScaleNormal="100" workbookViewId="0">
      <selection sqref="A1:D1"/>
    </sheetView>
  </sheetViews>
  <sheetFormatPr baseColWidth="10" defaultColWidth="8.6640625" defaultRowHeight="15" x14ac:dyDescent="0.2"/>
  <cols>
    <col min="1" max="1" width="36" customWidth="1"/>
    <col min="2" max="4" width="18" customWidth="1"/>
  </cols>
  <sheetData>
    <row r="1" spans="1:4" ht="30" customHeight="1" x14ac:dyDescent="0.2">
      <c r="A1" s="1" t="s">
        <v>30</v>
      </c>
      <c r="B1" s="1"/>
      <c r="C1" s="1"/>
      <c r="D1" s="1"/>
    </row>
    <row r="3" spans="1:4" ht="15" customHeight="1" x14ac:dyDescent="0.2">
      <c r="A3" s="2" t="s">
        <v>31</v>
      </c>
      <c r="B3" s="2" t="s">
        <v>32</v>
      </c>
      <c r="C3" s="2" t="s">
        <v>33</v>
      </c>
      <c r="D3" s="2" t="s">
        <v>34</v>
      </c>
    </row>
    <row r="4" spans="1:4" ht="15" customHeight="1" x14ac:dyDescent="0.2">
      <c r="A4" s="9" t="s">
        <v>35</v>
      </c>
      <c r="B4" s="4" t="s">
        <v>36</v>
      </c>
      <c r="C4" s="4" t="s">
        <v>37</v>
      </c>
      <c r="D4" s="4" t="s">
        <v>38</v>
      </c>
    </row>
    <row r="5" spans="1:4" ht="15" customHeight="1" x14ac:dyDescent="0.2">
      <c r="A5" s="9" t="s">
        <v>39</v>
      </c>
      <c r="B5" s="4" t="s">
        <v>38</v>
      </c>
      <c r="C5" s="4" t="s">
        <v>40</v>
      </c>
      <c r="D5" s="4" t="s">
        <v>41</v>
      </c>
    </row>
    <row r="6" spans="1:4" ht="15" customHeight="1" x14ac:dyDescent="0.2">
      <c r="A6" s="9" t="s">
        <v>42</v>
      </c>
      <c r="B6" s="4" t="s">
        <v>43</v>
      </c>
      <c r="C6" s="4" t="s">
        <v>44</v>
      </c>
      <c r="D6" s="4" t="s">
        <v>45</v>
      </c>
    </row>
    <row r="7" spans="1:4" ht="15" customHeight="1" x14ac:dyDescent="0.2">
      <c r="A7" s="9" t="s">
        <v>46</v>
      </c>
      <c r="B7" s="4" t="s">
        <v>47</v>
      </c>
      <c r="C7" s="4" t="s">
        <v>48</v>
      </c>
      <c r="D7" s="4" t="s">
        <v>49</v>
      </c>
    </row>
    <row r="8" spans="1:4" ht="15" customHeight="1" x14ac:dyDescent="0.2">
      <c r="A8" s="9" t="s">
        <v>50</v>
      </c>
      <c r="B8" s="4" t="s">
        <v>51</v>
      </c>
      <c r="C8" s="4" t="s">
        <v>36</v>
      </c>
      <c r="D8" s="4" t="s">
        <v>52</v>
      </c>
    </row>
    <row r="9" spans="1:4" ht="15" customHeight="1" x14ac:dyDescent="0.2">
      <c r="A9" s="9" t="s">
        <v>53</v>
      </c>
      <c r="B9" s="10">
        <f>450000000*0.15*0.35*0.65/1000000</f>
        <v>15.356249999999999</v>
      </c>
      <c r="C9" s="10">
        <f>450000000*0.15*0.5*0.8/1000000</f>
        <v>27</v>
      </c>
      <c r="D9" s="10">
        <f>450000000*0.15*0.65*0.9/1000000</f>
        <v>39.487499999999997</v>
      </c>
    </row>
    <row r="10" spans="1:4" ht="15" customHeight="1" x14ac:dyDescent="0.2">
      <c r="A10" s="9" t="s">
        <v>54</v>
      </c>
      <c r="B10" s="10">
        <f>250/4</f>
        <v>62.5</v>
      </c>
      <c r="C10" s="10">
        <f>300/3.5</f>
        <v>85.714285714285708</v>
      </c>
      <c r="D10" s="10">
        <f>350/3</f>
        <v>116.66666666666667</v>
      </c>
    </row>
    <row r="11" spans="1:4" ht="15" customHeight="1" x14ac:dyDescent="0.2">
      <c r="A11" s="9" t="s">
        <v>55</v>
      </c>
      <c r="B11" s="10">
        <f>B9*B10/1000</f>
        <v>0.95976562499999996</v>
      </c>
      <c r="C11" s="10">
        <f>C9*C10/1000</f>
        <v>2.3142857142857141</v>
      </c>
      <c r="D11" s="10">
        <f>D9*D10/1000</f>
        <v>4.6068749999999996</v>
      </c>
    </row>
    <row r="12" spans="1:4" ht="15" customHeight="1" x14ac:dyDescent="0.2">
      <c r="A12" s="9" t="s">
        <v>56</v>
      </c>
      <c r="B12" s="11">
        <f>B11*0.25</f>
        <v>0.23994140624999999</v>
      </c>
      <c r="C12" s="11">
        <f>C11*0.35</f>
        <v>0.80999999999999983</v>
      </c>
      <c r="D12" s="11">
        <f>D11*0.45</f>
        <v>2.07309375</v>
      </c>
    </row>
    <row r="15" spans="1:4" x14ac:dyDescent="0.2">
      <c r="A15" s="12" t="s">
        <v>57</v>
      </c>
    </row>
    <row r="16" spans="1:4" x14ac:dyDescent="0.2">
      <c r="A16" s="2"/>
      <c r="B16" s="2" t="s">
        <v>32</v>
      </c>
      <c r="C16" s="2" t="s">
        <v>33</v>
      </c>
      <c r="D16" s="2" t="s">
        <v>34</v>
      </c>
    </row>
    <row r="17" spans="1:4" x14ac:dyDescent="0.2">
      <c r="A17" s="13" t="s">
        <v>58</v>
      </c>
      <c r="B17" s="7" t="s">
        <v>59</v>
      </c>
      <c r="C17" s="7" t="s">
        <v>60</v>
      </c>
      <c r="D17" s="7" t="s">
        <v>61</v>
      </c>
    </row>
    <row r="18" spans="1:4" x14ac:dyDescent="0.2">
      <c r="A18" s="14" t="s">
        <v>62</v>
      </c>
      <c r="B18" s="15" t="s">
        <v>63</v>
      </c>
      <c r="C18" s="15" t="s">
        <v>64</v>
      </c>
      <c r="D18" s="15" t="s">
        <v>65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zoomScale="157" zoomScaleNormal="100" workbookViewId="0">
      <selection activeCell="B20" sqref="B20"/>
    </sheetView>
  </sheetViews>
  <sheetFormatPr baseColWidth="10" defaultColWidth="8.6640625" defaultRowHeight="15" x14ac:dyDescent="0.2"/>
  <cols>
    <col min="1" max="1" width="50" customWidth="1"/>
    <col min="2" max="2" width="28" customWidth="1"/>
  </cols>
  <sheetData>
    <row r="1" spans="1:2" ht="17.25" customHeight="1" x14ac:dyDescent="0.2">
      <c r="A1" s="1" t="s">
        <v>66</v>
      </c>
      <c r="B1" s="1"/>
    </row>
    <row r="2" spans="1:2" ht="15" customHeight="1" x14ac:dyDescent="0.2">
      <c r="A2" s="16"/>
      <c r="B2" s="17"/>
    </row>
    <row r="3" spans="1:2" ht="39" customHeight="1" x14ac:dyDescent="0.2">
      <c r="A3" s="18" t="s">
        <v>67</v>
      </c>
      <c r="B3" s="17" t="s">
        <v>68</v>
      </c>
    </row>
    <row r="4" spans="1:2" ht="15" customHeight="1" x14ac:dyDescent="0.2">
      <c r="A4" s="16"/>
      <c r="B4" s="17"/>
    </row>
    <row r="5" spans="1:2" ht="26.25" customHeight="1" x14ac:dyDescent="0.2">
      <c r="A5" s="18" t="s">
        <v>69</v>
      </c>
      <c r="B5" s="17" t="s">
        <v>70</v>
      </c>
    </row>
    <row r="6" spans="1:2" ht="15" customHeight="1" x14ac:dyDescent="0.2">
      <c r="A6" s="16"/>
      <c r="B6" s="17"/>
    </row>
    <row r="7" spans="1:2" ht="15" customHeight="1" x14ac:dyDescent="0.2">
      <c r="A7" s="18" t="s">
        <v>71</v>
      </c>
      <c r="B7" s="17"/>
    </row>
    <row r="8" spans="1:2" ht="15" customHeight="1" x14ac:dyDescent="0.2">
      <c r="A8" s="16" t="s">
        <v>72</v>
      </c>
      <c r="B8" s="17" t="s">
        <v>73</v>
      </c>
    </row>
    <row r="9" spans="1:2" ht="15" customHeight="1" x14ac:dyDescent="0.2">
      <c r="A9" s="16" t="s">
        <v>74</v>
      </c>
      <c r="B9" s="17" t="s">
        <v>75</v>
      </c>
    </row>
    <row r="10" spans="1:2" ht="26.25" customHeight="1" x14ac:dyDescent="0.2">
      <c r="A10" s="16" t="s">
        <v>76</v>
      </c>
      <c r="B10" s="17" t="s">
        <v>77</v>
      </c>
    </row>
    <row r="11" spans="1:2" ht="26.25" customHeight="1" x14ac:dyDescent="0.2">
      <c r="A11" s="16" t="s">
        <v>78</v>
      </c>
      <c r="B11" s="17" t="s">
        <v>79</v>
      </c>
    </row>
    <row r="12" spans="1:2" ht="15" customHeight="1" x14ac:dyDescent="0.2">
      <c r="A12" s="16" t="s">
        <v>80</v>
      </c>
      <c r="B12" s="17" t="s">
        <v>44</v>
      </c>
    </row>
    <row r="13" spans="1:2" ht="15" customHeight="1" x14ac:dyDescent="0.2">
      <c r="A13" s="16" t="s">
        <v>81</v>
      </c>
      <c r="B13" s="17" t="s">
        <v>82</v>
      </c>
    </row>
    <row r="14" spans="1:2" ht="15" customHeight="1" x14ac:dyDescent="0.2">
      <c r="A14" s="16" t="s">
        <v>83</v>
      </c>
      <c r="B14" s="17" t="s">
        <v>36</v>
      </c>
    </row>
    <row r="15" spans="1:2" ht="15" customHeight="1" x14ac:dyDescent="0.2">
      <c r="A15" s="16"/>
      <c r="B15" s="17"/>
    </row>
    <row r="16" spans="1:2" ht="15" customHeight="1" x14ac:dyDescent="0.2">
      <c r="A16" s="18" t="s">
        <v>84</v>
      </c>
      <c r="B16" s="17"/>
    </row>
    <row r="17" spans="1:2" ht="15" customHeight="1" x14ac:dyDescent="0.2">
      <c r="A17" s="16" t="s">
        <v>85</v>
      </c>
      <c r="B17" s="17" t="s">
        <v>86</v>
      </c>
    </row>
    <row r="18" spans="1:2" ht="15" customHeight="1" x14ac:dyDescent="0.2">
      <c r="A18" s="16" t="s">
        <v>87</v>
      </c>
      <c r="B18" s="17" t="s">
        <v>88</v>
      </c>
    </row>
    <row r="19" spans="1:2" ht="15" customHeight="1" x14ac:dyDescent="0.2">
      <c r="A19" s="16"/>
      <c r="B19" s="17"/>
    </row>
    <row r="20" spans="1:2" ht="90" customHeight="1" x14ac:dyDescent="0.2">
      <c r="A20" s="18" t="s">
        <v>89</v>
      </c>
      <c r="B20" s="17" t="s">
        <v>90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Scenario Analysis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mahmoud khundukji</cp:lastModifiedBy>
  <cp:revision>0</cp:revision>
  <dcterms:created xsi:type="dcterms:W3CDTF">2026-05-14T15:58:26Z</dcterms:created>
  <dcterms:modified xsi:type="dcterms:W3CDTF">2026-05-14T17:06:00Z</dcterms:modified>
  <dc:language>en-US</dc:language>
</cp:coreProperties>
</file>